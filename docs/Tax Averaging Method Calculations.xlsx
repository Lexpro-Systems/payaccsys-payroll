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Web Server\Apache2.4\htdocs\LexproPayroll\docs\"/>
    </mc:Choice>
  </mc:AlternateContent>
  <xr:revisionPtr revIDLastSave="0" documentId="13_ncr:1_{16A8B41C-95DB-4A01-A847-BE9A4487E38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I9" i="1"/>
  <c r="I8" i="1"/>
  <c r="I7" i="1"/>
  <c r="I6" i="1"/>
  <c r="I5" i="1"/>
  <c r="I4" i="1"/>
  <c r="I3" i="1"/>
  <c r="I2" i="1"/>
  <c r="A30" i="1"/>
  <c r="D2" i="1"/>
  <c r="D3" i="1" s="1"/>
  <c r="E3" i="1" s="1"/>
  <c r="E2" i="1" l="1"/>
  <c r="K2" i="1" s="1"/>
  <c r="F2" i="1" s="1"/>
  <c r="L2" i="1"/>
  <c r="J2" i="1" s="1"/>
  <c r="L4" i="1"/>
  <c r="J4" i="1" s="1"/>
  <c r="L3" i="1"/>
  <c r="J3" i="1" s="1"/>
  <c r="L5" i="1"/>
  <c r="J5" i="1" s="1"/>
  <c r="L6" i="1"/>
  <c r="J6" i="1" s="1"/>
  <c r="L7" i="1"/>
  <c r="J7" i="1" s="1"/>
  <c r="L8" i="1"/>
  <c r="J8" i="1" s="1"/>
  <c r="L9" i="1"/>
  <c r="J9" i="1" s="1"/>
  <c r="L10" i="1"/>
  <c r="J10" i="1" s="1"/>
  <c r="L11" i="1"/>
  <c r="J11" i="1" s="1"/>
  <c r="L12" i="1"/>
  <c r="J12" i="1" s="1"/>
  <c r="L13" i="1"/>
  <c r="J13" i="1" s="1"/>
  <c r="D4" i="1"/>
  <c r="E4" i="1" s="1"/>
  <c r="K3" i="1"/>
  <c r="F3" i="1" s="1"/>
  <c r="J14" i="1" l="1"/>
  <c r="D5" i="1"/>
  <c r="E5" i="1" s="1"/>
  <c r="K4" i="1"/>
  <c r="F4" i="1" s="1"/>
  <c r="D6" i="1" l="1"/>
  <c r="E6" i="1" s="1"/>
  <c r="K5" i="1"/>
  <c r="F5" i="1" s="1"/>
  <c r="D7" i="1" l="1"/>
  <c r="E7" i="1" s="1"/>
  <c r="K6" i="1"/>
  <c r="F6" i="1" s="1"/>
  <c r="K7" i="1" l="1"/>
  <c r="F7" i="1" s="1"/>
  <c r="D8" i="1"/>
  <c r="E8" i="1" s="1"/>
  <c r="D9" i="1" l="1"/>
  <c r="E9" i="1" s="1"/>
  <c r="K8" i="1"/>
  <c r="F8" i="1" s="1"/>
  <c r="K9" i="1" l="1"/>
  <c r="F9" i="1" s="1"/>
  <c r="D10" i="1"/>
  <c r="E10" i="1" s="1"/>
  <c r="K10" i="1" l="1"/>
  <c r="F10" i="1" s="1"/>
  <c r="D11" i="1"/>
  <c r="E11" i="1" s="1"/>
  <c r="K11" i="1" l="1"/>
  <c r="F11" i="1" s="1"/>
  <c r="D12" i="1"/>
  <c r="E12" i="1" s="1"/>
  <c r="D13" i="1" l="1"/>
  <c r="G10" i="1"/>
  <c r="G9" i="1"/>
  <c r="G8" i="1"/>
  <c r="G7" i="1"/>
  <c r="G6" i="1"/>
  <c r="G5" i="1"/>
  <c r="G4" i="1"/>
  <c r="G2" i="1"/>
  <c r="H2" i="1" s="1"/>
  <c r="G3" i="1"/>
  <c r="E13" i="1" l="1"/>
  <c r="K13" i="1" s="1"/>
  <c r="F13" i="1" s="1"/>
  <c r="K12" i="1"/>
  <c r="H7" i="1"/>
  <c r="H5" i="1"/>
  <c r="H8" i="1"/>
  <c r="H3" i="1"/>
  <c r="H4" i="1"/>
  <c r="H6" i="1"/>
  <c r="H9" i="1"/>
  <c r="H10" i="1"/>
  <c r="J15" i="1" l="1"/>
  <c r="G13" i="1"/>
  <c r="G11" i="1"/>
  <c r="H11" i="1" s="1"/>
  <c r="F12" i="1"/>
  <c r="G12" i="1" s="1"/>
  <c r="H13" i="1" l="1"/>
  <c r="H12" i="1"/>
  <c r="H14" i="1" l="1"/>
  <c r="H15" i="1" s="1"/>
</calcChain>
</file>

<file path=xl/sharedStrings.xml><?xml version="1.0" encoding="utf-8"?>
<sst xmlns="http://schemas.openxmlformats.org/spreadsheetml/2006/main" count="34" uniqueCount="34">
  <si>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</si>
  <si>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</si>
  <si>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</si>
  <si>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</si>
  <si>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</si>
  <si>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</si>
  <si>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</si>
  <si>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</si>
  <si>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</si>
  <si>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</si>
  <si>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</si>
  <si>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</si>
  <si>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Max</t>
  </si>
  <si>
    <t>Fixed</t>
  </si>
  <si>
    <t>Percentage</t>
  </si>
  <si>
    <t>Adjustment</t>
  </si>
  <si>
    <t>Rebates</t>
  </si>
  <si>
    <t>Age</t>
  </si>
  <si>
    <t>Rebate</t>
  </si>
  <si>
    <t>Primary (&lt; 65)</t>
  </si>
  <si>
    <t>Secondary (&lt;75)</t>
  </si>
  <si>
    <t>Tertiary (&gt;=75)</t>
  </si>
  <si>
    <t>Tax Tables (2023/03/01 to 2024/02/29)</t>
  </si>
  <si>
    <t>Periodic Method: 
Yearly Income</t>
  </si>
  <si>
    <t>Periodic Method: Monthly Tax</t>
  </si>
  <si>
    <t>Totals:</t>
  </si>
  <si>
    <t>[A] Month Number</t>
  </si>
  <si>
    <t>[B] Month</t>
  </si>
  <si>
    <t>[C] Remuneration</t>
  </si>
  <si>
    <t>[D] YTD Income</t>
  </si>
  <si>
    <t>[E] Annual Equivalent
([D] / [A] x 12)</t>
  </si>
  <si>
    <t xml:space="preserve">[F] Tax on AE </t>
  </si>
  <si>
    <t>[G] YTD Tax Liability
([F] / 12 x [A])</t>
  </si>
  <si>
    <t>[H] Tax for the month 
([G] current – [G] previous)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</si>
</sst>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/>
    <xf numFmtId="0" fontId="1" fillId="2" borderId="0" xfId="0" applyFont="1" applyFill="1" applyAlignment="1">
      <alignment horizontal="right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4" fontId="1" fillId="0" borderId="0" xfId="0" applyNumberFormat="1" applyFont="1"/>
    <xf numFmtId="4" fontId="0" fillId="8" borderId="0" xfId="0" applyNumberFormat="1" applyFill="1"/>
    <xf numFmtId="0" fontId="1" fillId="7" borderId="0" xfId="0" applyFont="1" applyFill="1" applyAlignment="1">
      <alignment horizontal="center" vertical="center" wrapText="1"/>
    </xf>
    <xf numFmtId="4" fontId="0" fillId="9" borderId="0" xfId="0" applyNumberFormat="1" applyFill="1"/>
    <xf numFmtId="0" fontId="1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Normal="100" workbookViewId="0">
      <selection activeCell="C3" sqref="C3"/>
    </sheetView>
  </sheetViews>
  <sheetFormatPr defaultRowHeight="14.5" x14ac:dyDescent="0.35"/>
  <cols>
    <col min="1" max="4" width="16.6328125" customWidth="1"/>
    <col min="5" max="5" width="18.6328125" customWidth="1"/>
    <col min="6" max="6" width="16.6328125" customWidth="1"/>
    <col min="7" max="7" width="18.6328125" customWidth="1"/>
    <col min="8" max="8" width="25.6328125" customWidth="1"/>
    <col min="9" max="10" width="16.6328125" customWidth="1"/>
    <col min="11" max="12" width="0" hidden="1" customWidth="1"/>
  </cols>
  <sheetData>
    <row r="1" spans="1:12" ht="43.5" x14ac:dyDescent="0.35">
      <c r="A1" s="2" t="s">
        <v>26</v>
      </c>
      <c r="B1" s="2" t="s">
        <v>27</v>
      </c>
      <c r="C1" s="2" t="s">
        <v>28</v>
      </c>
      <c r="D1" s="2" t="s">
        <v>29</v>
      </c>
      <c r="E1" s="3" t="s">
        <v>30</v>
      </c>
      <c r="F1" s="9" t="s">
        <v>31</v>
      </c>
      <c r="G1" s="3" t="s">
        <v>32</v>
      </c>
      <c r="H1" s="3" t="s">
        <v>33</v>
      </c>
      <c r="I1" s="14" t="s">
        <v>23</v>
      </c>
      <c r="J1" s="14" t="s">
        <v>24</v>
      </c>
    </row>
    <row r="2" spans="1:12" x14ac:dyDescent="0.35">
      <c r="A2">
        <v>1</v>
      </c>
      <c r="B2" t="s">
        <v>0</v>
      </c>
      <c r="C2" s="1">
        <v>0</v>
      </c>
      <c r="D2" s="1">
        <f>C2</f>
        <v>0</v>
      </c>
      <c r="E2" s="1">
        <f t="shared" ref="E2:E13" si="0">D2/A2*12</f>
        <v>0</v>
      </c>
      <c r="F2" s="1">
        <f>IF(K2&gt;0, K2, 0)</f>
        <v>0</v>
      </c>
      <c r="G2" s="1">
        <f t="shared" ref="G2:G13" si="1">F2/12*A2</f>
        <v>0</v>
      </c>
      <c r="H2" s="15">
        <f>IF(G2&gt;0,G2, 0)</f>
        <v>0</v>
      </c>
      <c r="I2" s="1">
        <f t="shared" ref="I2:I13" si="2">C2*12</f>
        <v>0</v>
      </c>
      <c r="J2" s="13">
        <f>IF(L2&gt;0, L2, 0)</f>
        <v>0</v>
      </c>
      <c r="K2">
        <f>IF(E2&gt;A23,(B24+((E2-D24)/100*C24))-A30,IF(E2&gt;A22,(B23+((E2-D23)/100*C23))-A30,IF(E2&gt;A21,(B22+((E2-D22)/100*C22))-A30,IF(E2&gt;A20,(B21+((E2-D21)/100*C21))-A30,IF(E2&gt;A19,(B20+((E2-D20)/100*C20))-A30,IF(E2&gt;A18,(B19+((E2-D19)/100*C19))-A30,(B18+((E2-D18)/100*C18))-A30))))))</f>
        <v>-17235</v>
      </c>
      <c r="L2">
        <f>IF(I2&gt;A23,(B24+((I2-D24)/100*C24))-A30,IF(I2&gt;A22,(B23+((I2-D23)/100*C23))-A30,IF(I2&gt;A21,(B22+((I2-D22)/100*C22))-A30,IF(I2&gt;A20,(B21+((I2-D21)/100*C21))-A30,IF(I2&gt;A19,(B20+((I2-D20)/100*C20))-A30,IF(I2&gt;A18,(B19+((I2-D19)/100*C19))-A30,(B18+((I2-D18)/100*C18))-A30))))))/12</f>
        <v>-1436.25</v>
      </c>
    </row>
    <row r="3" spans="1:12" x14ac:dyDescent="0.35">
      <c r="A3">
        <v>2</v>
      </c>
      <c r="B3" t="s">
        <v>1</v>
      </c>
      <c r="C3" s="1">
        <v>9500</v>
      </c>
      <c r="D3" s="1">
        <f t="shared" ref="D3:D13" si="3">D2+C3</f>
        <v>9500</v>
      </c>
      <c r="E3" s="1">
        <f t="shared" si="0"/>
        <v>57000</v>
      </c>
      <c r="F3" s="1">
        <f>IF(K3&gt;0, K3, 0)</f>
        <v>0</v>
      </c>
      <c r="G3" s="1">
        <f t="shared" si="1"/>
        <v>0</v>
      </c>
      <c r="H3" s="15">
        <f t="shared" ref="H3:H13" si="4">IF(G3-G2&gt;0, G3-G2, 0)</f>
        <v>0</v>
      </c>
      <c r="I3" s="1">
        <f t="shared" si="2"/>
        <v>114000</v>
      </c>
      <c r="J3" s="13">
        <f>IF(L3&gt;0, L3, 0)</f>
        <v>273.75</v>
      </c>
      <c r="K3">
        <f>IF(E3&gt;A23,(B24+((E3-D24)/100*C24))-A30,IF(E3&gt;A22,(B23+((E3-D23)/100*C23))-A30,IF(E3&gt;A21,(B22+((E3-D22)/100*C22))-A30,IF(E3&gt;A20,(B21+((E3-D21)/100*C21))-A30,IF(E3&gt;A19,(B20+((E3-D20)/100*C20))-A30,IF(E3&gt;A18,(B19+((E3-D19)/100*C19))-A30,(B18+((E3-D18)/100*C18))-A30))))))</f>
        <v>-6975</v>
      </c>
      <c r="L3">
        <f>IF(I3&gt;A23,(B24+((I3-D24)/100*C24))-A30,IF(I3&gt;A22,(B23+((I3-D23)/100*C23))-A30,IF(I3&gt;A21,(B22+((I3-D22)/100*C22))-A30,IF(I3&gt;A20,(B21+((I3-D21)/100*C21))-A30,IF(I3&gt;A19,(B20+((I3-D20)/100*C20))-A30,IF(I3&gt;A18,(B19+((I3-D19)/100*C19))-A30,(B18+((I3-D18)/100*C18))-A30))))))/12</f>
        <v>273.75</v>
      </c>
    </row>
    <row r="4" spans="1:12" x14ac:dyDescent="0.35">
      <c r="A4">
        <v>3</v>
      </c>
      <c r="B4" t="s">
        <v>2</v>
      </c>
      <c r="C4" s="1">
        <v>19500</v>
      </c>
      <c r="D4" s="1">
        <f t="shared" si="3"/>
        <v>29000</v>
      </c>
      <c r="E4" s="1">
        <f t="shared" si="0"/>
        <v>116000</v>
      </c>
      <c r="F4" s="1">
        <f>IF(K4&gt;0, K4, 0)</f>
        <v>3645</v>
      </c>
      <c r="G4" s="1">
        <f t="shared" si="1"/>
        <v>911.25</v>
      </c>
      <c r="H4" s="15">
        <f t="shared" si="4"/>
        <v>911.25</v>
      </c>
      <c r="I4" s="1">
        <f t="shared" si="2"/>
        <v>234000</v>
      </c>
      <c r="J4" s="13">
        <f>IF(L4&gt;0, L4, 0)</f>
        <v>2073.75</v>
      </c>
      <c r="K4">
        <f>IF(E4&gt;A23,(B24+((E4-D24)/100*C24))-A30,IF(E4&gt;A22,(B23+((E4-D23)/100*C23))-A30,IF(E4&gt;A21,(B22+((E4-D22)/100*C22))-A30,IF(E4&gt;A20,(B21+((E4-D21)/100*C21))-A30,IF(E4&gt;A19,(B20+((E4-D20)/100*C20))-A30,IF(E4&gt;A18,(B19+((E4-D19)/100*C19))-A30,(B18+((E4-D18)/100*C18))-A30))))))</f>
        <v>3645</v>
      </c>
      <c r="L4">
        <f>IF(I4&gt;A23,(B24+((I4-D24)/100*C24))-A30,IF(I4&gt;A22,(B23+((I4-D23)/100*C23))-A30,IF(I4&gt;A21,(B22+((I4-D22)/100*C22))-A30,IF(I4&gt;A20,(B21+((I4-D21)/100*C21))-A30,IF(I4&gt;A19,(B20+((I4-D20)/100*C20))-A30,IF(I4&gt;A18,(B19+((I4-D19)/100*C19))-A30,(B18+((I4-D18)/100*C18))-A30))))))/12</f>
        <v>2073.75</v>
      </c>
    </row>
    <row r="5" spans="1:12" x14ac:dyDescent="0.35">
      <c r="A5">
        <v>4</v>
      </c>
      <c r="B5" t="s">
        <v>3</v>
      </c>
      <c r="C5" s="1">
        <v>9500</v>
      </c>
      <c r="D5" s="1">
        <f t="shared" si="3"/>
        <v>38500</v>
      </c>
      <c r="E5" s="1">
        <f t="shared" si="0"/>
        <v>115500</v>
      </c>
      <c r="F5" s="1">
        <f>IF(K5&gt;0, K5, 0)</f>
        <v>3555</v>
      </c>
      <c r="G5" s="1">
        <f t="shared" si="1"/>
        <v>1185</v>
      </c>
      <c r="H5" s="15">
        <f t="shared" si="4"/>
        <v>273.75</v>
      </c>
      <c r="I5" s="1">
        <f t="shared" si="2"/>
        <v>114000</v>
      </c>
      <c r="J5" s="13">
        <f>IF(L5&gt;0, L5, 0)</f>
        <v>273.75</v>
      </c>
      <c r="K5">
        <f>IF(E5&gt;A23,(B24+((E5-D24)/100*C24))-A30,IF(E5&gt;A22,(B23+((E5-D23)/100*C23))-A30,IF(E5&gt;A21,(B22+((E5-D22)/100*C22))-A30,IF(E5&gt;A20,(B21+((E5-D21)/100*C21))-A30,IF(E5&gt;A19,(B20+((E5-D20)/100*C20))-A30,IF(E5&gt;A18,(B19+((E5-D19)/100*C19))-A30,(B18+((E5-D18)/100*C18))-A30))))))</f>
        <v>3555</v>
      </c>
      <c r="L5">
        <f>IF(I5&gt;A23,(B24+((I5-D24)/100*C24))-A30,IF(I5&gt;A22,(B23+((I5-D23)/100*C23))-A30,IF(I5&gt;A21,(B22+((I5-D22)/100*C22))-A30,IF(I5&gt;A20,(B21+((I5-D21)/100*C21))-A30,IF(I5&gt;A19,(B20+((I5-D20)/100*C20))-A30,IF(I5&gt;A18,(B19+((I5-D19)/100*C19))-A30,(B18+((I5-D18)/100*C18))-A30))))))/12</f>
        <v>273.75</v>
      </c>
    </row>
    <row r="6" spans="1:12" x14ac:dyDescent="0.35">
      <c r="A6">
        <v>5</v>
      </c>
      <c r="B6" t="s">
        <v>4</v>
      </c>
      <c r="C6" s="1">
        <v>29500</v>
      </c>
      <c r="D6" s="1">
        <f t="shared" si="3"/>
        <v>68000</v>
      </c>
      <c r="E6" s="1">
        <f t="shared" si="0"/>
        <v>163200</v>
      </c>
      <c r="F6" s="1">
        <f>IF(K6&gt;0, K6, 0)</f>
        <v>12141</v>
      </c>
      <c r="G6" s="1">
        <f t="shared" si="1"/>
        <v>5058.75</v>
      </c>
      <c r="H6" s="15">
        <f t="shared" si="4"/>
        <v>3873.75</v>
      </c>
      <c r="I6" s="1">
        <f t="shared" si="2"/>
        <v>354000</v>
      </c>
      <c r="J6" s="13">
        <f>IF(L6&gt;0, L6, 0)</f>
        <v>4653.083333333333</v>
      </c>
      <c r="K6">
        <f>IF(E6&gt;A23,(B24+((E6-D24)/100*C24))-A30,IF(E6&gt;A22,(B23+((E6-D23)/100*C23))-A30,IF(E6&gt;A21,(B22+((E6-D22)/100*C22))-A30,IF(E6&gt;A20,(B21+((E6-D21)/100*C21))-A30,IF(E6&gt;A19,(B20+((E6-D20)/100*C20))-A30,IF(E6&gt;A18,(B19+((E6-D19)/100*C19))-A30,(B18+((E6-D18)/100*C18))-A30))))))</f>
        <v>12141</v>
      </c>
      <c r="L6">
        <f>IF(I6&gt;A23,(B24+((I6-D24)/100*C24))-A30,IF(I6&gt;A22,(B23+((I6-D23)/100*C23))-A30,IF(I6&gt;A21,(B22+((I6-D22)/100*C22))-A30,IF(I6&gt;A20,(B21+((I6-D21)/100*C21))-A30,IF(I6&gt;A19,(B20+((I6-D20)/100*C20))-A30,IF(I6&gt;A18,(B19+((I6-D19)/100*C19))-A30,(B18+((I6-D18)/100*C18))-A30))))))/12</f>
        <v>4653.083333333333</v>
      </c>
    </row>
    <row r="7" spans="1:12" x14ac:dyDescent="0.35">
      <c r="A7">
        <v>6</v>
      </c>
      <c r="B7" t="s">
        <v>5</v>
      </c>
      <c r="C7" s="1">
        <v>19500</v>
      </c>
      <c r="D7" s="1">
        <f t="shared" si="3"/>
        <v>87500</v>
      </c>
      <c r="E7" s="1">
        <f>D7/A7*12</f>
        <v>175000</v>
      </c>
      <c r="F7" s="1">
        <f>IF(K7&gt;0, K7, 0)</f>
        <v>14265</v>
      </c>
      <c r="G7" s="1">
        <f t="shared" si="1"/>
        <v>7132.5</v>
      </c>
      <c r="H7" s="15">
        <f t="shared" si="4"/>
        <v>2073.75</v>
      </c>
      <c r="I7" s="1">
        <f t="shared" si="2"/>
        <v>234000</v>
      </c>
      <c r="J7" s="13">
        <f>IF(L7&gt;0, L7, 0)</f>
        <v>2073.75</v>
      </c>
      <c r="K7">
        <f>IF(E7&gt;A23,(B24+((E7-D24)/100*C24))-A30,IF(E7&gt;A22,(B23+((E7-D23)/100*C23))-A30,IF(E7&gt;A21,(B22+((E7-D22)/100*C22))-A30,IF(E7&gt;A20,(B21+((E7-D21)/100*C21))-A30,IF(E7&gt;A19,(B20+((E7-D20)/100*C20))-A30,IF(E7&gt;A18,(B19+((E7-D19)/100*C19))-A30,(B18+((E7-D18)/100*C18))-A30))))))</f>
        <v>14265</v>
      </c>
      <c r="L7">
        <f>IF(I7&gt;A23,(B24+((I7-D24)/100*C24))-A30,IF(I7&gt;A22,(B23+((I7-D23)/100*C23))-A30,IF(I7&gt;A21,(B22+((I7-D22)/100*C22))-A30,IF(I7&gt;A20,(B21+((I7-D21)/100*C21))-A30,IF(I7&gt;A19,(B20+((I7-D20)/100*C20))-A30,IF(I7&gt;A18,(B19+((I7-D19)/100*C19))-A30,(B18+((I7-D18)/100*C18))-A30))))))/12</f>
        <v>2073.75</v>
      </c>
    </row>
    <row r="8" spans="1:12" x14ac:dyDescent="0.35">
      <c r="A8">
        <v>7</v>
      </c>
      <c r="B8" t="s">
        <v>6</v>
      </c>
      <c r="C8" s="1">
        <v>39500</v>
      </c>
      <c r="D8" s="1">
        <f t="shared" si="3"/>
        <v>127000</v>
      </c>
      <c r="E8" s="1">
        <f t="shared" si="0"/>
        <v>217714.28571428568</v>
      </c>
      <c r="F8" s="1">
        <f>IF(K8&gt;0, K8, 0)</f>
        <v>21953.57142857142</v>
      </c>
      <c r="G8" s="1">
        <f t="shared" si="1"/>
        <v>12806.249999999996</v>
      </c>
      <c r="H8" s="15">
        <f t="shared" si="4"/>
        <v>5673.7499999999964</v>
      </c>
      <c r="I8" s="1">
        <f t="shared" si="2"/>
        <v>474000</v>
      </c>
      <c r="J8" s="13">
        <f>IF(L8&gt;0, L8, 0)</f>
        <v>7684.333333333333</v>
      </c>
      <c r="K8">
        <f>IF(E8&gt;A23,(B24+((E8-D24)/100*C24))-A30,IF(E8&gt;A22,(B23+((E8-D23)/100*C23))-A30,IF(E8&gt;A21,(B22+((E8-D22)/100*C22))-A30,IF(E8&gt;A20,(B21+((E8-D21)/100*C21))-A30,IF(E8&gt;A19,(B20+((E8-D20)/100*C20))-A30,IF(E8&gt;A18,(B19+((E8-D19)/100*C19))-A30,(B18+((E8-D18)/100*C18))-A30))))))</f>
        <v>21953.57142857142</v>
      </c>
      <c r="L8">
        <f>IF(I8&gt;A23,(B24+((I8-D24)/100*C24))-A30,IF(I8&gt;A22,(B23+((I8-D23)/100*C23))-A30,IF(I8&gt;A21,(B22+((I8-D22)/100*C22))-A30,IF(I8&gt;A20,(B21+((I8-D21)/100*C21))-A30,IF(I8&gt;A19,(B20+((I8-D20)/100*C20))-A30,IF(I8&gt;A18,(B19+((I8-D19)/100*C19))-A30,(B18+((I8-D18)/100*C18))-A30))))))/12</f>
        <v>7684.333333333333</v>
      </c>
    </row>
    <row r="9" spans="1:12" x14ac:dyDescent="0.35">
      <c r="A9">
        <v>8</v>
      </c>
      <c r="B9" t="s">
        <v>7</v>
      </c>
      <c r="C9" s="1">
        <v>19500</v>
      </c>
      <c r="D9" s="1">
        <f t="shared" si="3"/>
        <v>146500</v>
      </c>
      <c r="E9" s="1">
        <f t="shared" si="0"/>
        <v>219750</v>
      </c>
      <c r="F9" s="1">
        <f>IF(K9&gt;0, K9, 0)</f>
        <v>22320</v>
      </c>
      <c r="G9" s="1">
        <f t="shared" si="1"/>
        <v>14880</v>
      </c>
      <c r="H9" s="15">
        <f t="shared" si="4"/>
        <v>2073.7500000000036</v>
      </c>
      <c r="I9" s="1">
        <f t="shared" si="2"/>
        <v>234000</v>
      </c>
      <c r="J9" s="13">
        <f>IF(L9&gt;0, L9, 0)</f>
        <v>2073.75</v>
      </c>
      <c r="K9">
        <f>IF(E9&gt;A23,(B24+((E9-D24)/100*C24))-A30,IF(E9&gt;A22,(B23+((E9-D23)/100*C23))-A30,IF(E9&gt;A21,(B22+((E9-D22)/100*C22))-A30,IF(E9&gt;A20,(B21+((E9-D21)/100*C21))-A30,IF(E9&gt;A19,(B20+((E9-D20)/100*C20))-A30,IF(E9&gt;A18,(B19+((E9-D19)/100*C19))-A30,(B18+((E9-D18)/100*C18))-A30))))))</f>
        <v>22320</v>
      </c>
      <c r="L9">
        <f>IF(I9&gt;A23,(B24+((I9-D24)/100*C24))-A30,IF(I9&gt;A22,(B23+((I9-D23)/100*C23))-A30,IF(I9&gt;A21,(B22+((I9-D22)/100*C22))-A30,IF(I9&gt;A20,(B21+((I9-D21)/100*C21))-A30,IF(I9&gt;A19,(B20+((I9-D20)/100*C20))-A30,IF(I9&gt;A18,(B19+((I9-D19)/100*C19))-A30,(B18+((I9-D18)/100*C18))-A30))))))/12</f>
        <v>2073.75</v>
      </c>
    </row>
    <row r="10" spans="1:12" x14ac:dyDescent="0.35">
      <c r="A10">
        <v>9</v>
      </c>
      <c r="B10" t="s">
        <v>8</v>
      </c>
      <c r="C10" s="1">
        <v>59500</v>
      </c>
      <c r="D10" s="1">
        <f t="shared" si="3"/>
        <v>206000</v>
      </c>
      <c r="E10" s="1">
        <f t="shared" si="0"/>
        <v>274666.66666666669</v>
      </c>
      <c r="F10" s="1">
        <f>IF(K10&gt;0, K10, 0)</f>
        <v>35210.333333333336</v>
      </c>
      <c r="G10" s="1">
        <f t="shared" si="1"/>
        <v>26407.750000000004</v>
      </c>
      <c r="H10" s="15">
        <f t="shared" si="4"/>
        <v>11527.750000000004</v>
      </c>
      <c r="I10" s="1">
        <f t="shared" si="2"/>
        <v>714000</v>
      </c>
      <c r="J10" s="13">
        <f>IF(L10&gt;0, L10, 0)</f>
        <v>14825.166666666666</v>
      </c>
      <c r="K10">
        <f>IF(E10&gt;A23,(B24+((E10-D24)/100*C24))-A30,IF(E10&gt;A22,(B23+((E10-D23)/100*C23))-A30,IF(E10&gt;A21,(B22+((E10-D22)/100*C22))-A30,IF(E10&gt;A20,(B21+((E10-D21)/100*C21))-A30,IF(E10&gt;A19,(B20+((E10-D20)/100*C20))-A30,IF(E10&gt;A18,(B19+((E10-D19)/100*C19))-A30,(B18+((E10-D18)/100*C18))-A30))))))</f>
        <v>35210.333333333336</v>
      </c>
      <c r="L10">
        <f>IF(I10&gt;A23,(B24+((I10-D24)/100*C24))-A30,IF(I10&gt;A22,(B23+((I10-D23)/100*C23))-A30,IF(I10&gt;A21,(B22+((I10-D22)/100*C22))-A30,IF(I10&gt;A20,(B21+((I10-D21)/100*C21))-A30,IF(I10&gt;A19,(B20+((I10-D20)/100*C20))-A30,IF(I10&gt;A18,(B19+((I10-D19)/100*C19))-A30,(B18+((I10-D18)/100*C18))-A30))))))/12</f>
        <v>14825.166666666666</v>
      </c>
    </row>
    <row r="11" spans="1:12" x14ac:dyDescent="0.35">
      <c r="A11">
        <v>10</v>
      </c>
      <c r="B11" t="s">
        <v>9</v>
      </c>
      <c r="C11" s="1">
        <v>19500</v>
      </c>
      <c r="D11" s="1">
        <f t="shared" si="3"/>
        <v>225500</v>
      </c>
      <c r="E11" s="1">
        <f t="shared" si="0"/>
        <v>270600</v>
      </c>
      <c r="F11" s="1">
        <f>IF(K11&gt;0, K11, 0)</f>
        <v>34153</v>
      </c>
      <c r="G11" s="1">
        <f t="shared" si="1"/>
        <v>28460.833333333336</v>
      </c>
      <c r="H11" s="15">
        <f t="shared" si="4"/>
        <v>2053.0833333333321</v>
      </c>
      <c r="I11" s="1">
        <f t="shared" si="2"/>
        <v>234000</v>
      </c>
      <c r="J11" s="13">
        <f>IF(L11&gt;0, L11, 0)</f>
        <v>2073.75</v>
      </c>
      <c r="K11">
        <f>IF(E11&gt;A23,(B24+((E11-D24)/100*C24))-A30,IF(E11&gt;A22,(B23+((E11-D23)/100*C23))-A30,IF(E11&gt;A21,(B22+((E11-D22)/100*C22))-A30,IF(E11&gt;A20,(B21+((E11-D21)/100*C21))-A30,IF(E11&gt;A19,(B20+((E11-D20)/100*C20))-A30,IF(E11&gt;A18,(B19+((E11-D19)/100*C19))-A30,(B18+((E11-D18)/100*C18))-A30))))))</f>
        <v>34153</v>
      </c>
      <c r="L11">
        <f>IF(I11&gt;A23,(B24+((I11-D24)/100*C24))-A30,IF(I11&gt;A22,(B23+((I11-D23)/100*C23))-A30,IF(I11&gt;A21,(B22+((I11-D22)/100*C22))-A30,IF(I11&gt;A20,(B21+((I11-D21)/100*C21))-A30,IF(I11&gt;A19,(B20+((I11-D20)/100*C20))-A30,IF(I11&gt;A18,(B19+((I11-D19)/100*C19))-A30,(B18+((I11-D18)/100*C18))-A30))))))/12</f>
        <v>2073.75</v>
      </c>
    </row>
    <row r="12" spans="1:12" x14ac:dyDescent="0.35">
      <c r="A12">
        <v>11</v>
      </c>
      <c r="B12" t="s">
        <v>10</v>
      </c>
      <c r="C12" s="1">
        <v>29500</v>
      </c>
      <c r="D12" s="1">
        <f t="shared" si="3"/>
        <v>255000</v>
      </c>
      <c r="E12" s="1">
        <f t="shared" si="0"/>
        <v>278181.81818181818</v>
      </c>
      <c r="F12" s="1">
        <f>IF(K12&gt;0, K12, 0)</f>
        <v>36124.272727272728</v>
      </c>
      <c r="G12" s="1">
        <f t="shared" si="1"/>
        <v>33113.916666666664</v>
      </c>
      <c r="H12" s="15">
        <f t="shared" si="4"/>
        <v>4653.0833333333285</v>
      </c>
      <c r="I12" s="1">
        <f t="shared" si="2"/>
        <v>354000</v>
      </c>
      <c r="J12" s="13">
        <f>IF(L12&gt;0, L12, 0)</f>
        <v>4653.083333333333</v>
      </c>
      <c r="K12">
        <f>IF(E12&gt;A23,(B24+((E12-D24)/100*C24))-A30,IF(E12&gt;A22,(B23+((E12-D23)/100*C23))-A30,IF(E12&gt;A21,(B22+((E12-D22)/100*C22))-A30,IF(E12&gt;A20,(B21+((E12-D21)/100*C21))-A30,IF(E12&gt;A19,(B20+((E12-D20)/100*C20))-A30,IF(E12&gt;A18,(B19+((E12-D19)/100*C19))-A30,(B18+((E12-D18)/100*C18))-A30))))))</f>
        <v>36124.272727272728</v>
      </c>
      <c r="L12">
        <f>IF(I12&gt;A23,(B24+((I12-D24)/100*C24))-A30,IF(I12&gt;A22,(B23+((I12-D23)/100*C23))-A30,IF(I12&gt;A21,(B22+((I12-D22)/100*C22))-A30,IF(I12&gt;A20,(B21+((I12-D21)/100*C21))-A30,IF(I12&gt;A19,(B20+((I12-D20)/100*C20))-A30,IF(I12&gt;A18,(B19+((I12-D19)/100*C19))-A30,(B18+((I12-D18)/100*C18))-A30))))))/12</f>
        <v>4653.083333333333</v>
      </c>
    </row>
    <row r="13" spans="1:12" x14ac:dyDescent="0.35">
      <c r="A13">
        <v>12</v>
      </c>
      <c r="B13" t="s">
        <v>11</v>
      </c>
      <c r="C13" s="1">
        <v>19500</v>
      </c>
      <c r="D13" s="1">
        <f t="shared" si="3"/>
        <v>274500</v>
      </c>
      <c r="E13" s="1">
        <f t="shared" si="0"/>
        <v>274500</v>
      </c>
      <c r="F13" s="1">
        <f>IF(K13&gt;0, K13, 0)</f>
        <v>35167</v>
      </c>
      <c r="G13" s="1">
        <f t="shared" si="1"/>
        <v>35167</v>
      </c>
      <c r="H13" s="15">
        <f t="shared" si="4"/>
        <v>2053.0833333333358</v>
      </c>
      <c r="I13" s="1">
        <f t="shared" si="2"/>
        <v>234000</v>
      </c>
      <c r="J13" s="13">
        <f>IF(L13&gt;0, L13, 0)</f>
        <v>2073.75</v>
      </c>
      <c r="K13">
        <f>IF(E13&gt;A23,(B24+((E13-D24)/100*C24))-A30,IF(E13&gt;A22,(B23+((E13-D23)/100*C23))-A30,IF(E13&gt;A21,(B22+((E13-D22)/100*C22))-A30,IF(E13&gt;A20,(B21+((E13-D21)/100*C21))-A30,IF(E13&gt;A19,(B20+((E13-D20)/100*C20))-A30,IF(E13&gt;A18,(B19+((E13-D19)/100*C19))-A30,(B18+((E13-D18)/100*C18))-A30))))))</f>
        <v>35167</v>
      </c>
      <c r="L13">
        <f>IF(I13&gt;A23,(B24+((I13-D24)/100*C24))-A30,IF(I13&gt;A22,(B23+((I13-D23)/100*C23))-A30,IF(I13&gt;A21,(B22+((I13-D22)/100*C22))-A30,IF(I13&gt;A20,(B21+((I13-D21)/100*C21))-A30,IF(I13&gt;A19,(B20+((I13-D20)/100*C20))-A30,IF(I13&gt;A18,(B19+((I13-D19)/100*C19))-A30,(B18+((I13-D18)/100*C18))-A30))))))/12</f>
        <v>2073.75</v>
      </c>
    </row>
    <row r="14" spans="1:12" x14ac:dyDescent="0.35">
      <c r="A14" s="16" t="s">
        <v>25</v>
      </c>
      <c r="C14" s="1"/>
      <c r="D14" s="1"/>
      <c r="E14" s="1"/>
      <c r="F14" s="1"/>
      <c r="G14" s="1"/>
      <c r="H14" s="12">
        <f>SUM(H2:H13)</f>
        <v>35167</v>
      </c>
      <c r="J14" s="12">
        <f>SUMIF(J2:J13,"&gt;0")</f>
        <v>42731.916666666664</v>
      </c>
    </row>
    <row r="15" spans="1:12" x14ac:dyDescent="0.35">
      <c r="H15" s="12">
        <f>H14-F13</f>
        <v>0</v>
      </c>
      <c r="J15" s="12">
        <f>J14-F13</f>
        <v>7564.9166666666642</v>
      </c>
    </row>
    <row r="16" spans="1:12" x14ac:dyDescent="0.35">
      <c r="A16" s="4" t="s">
        <v>22</v>
      </c>
      <c r="B16" s="4"/>
      <c r="C16" s="4"/>
      <c r="D16" s="4"/>
    </row>
    <row r="17" spans="1:4" x14ac:dyDescent="0.35">
      <c r="A17" s="5" t="s">
        <v>12</v>
      </c>
      <c r="B17" s="5" t="s">
        <v>13</v>
      </c>
      <c r="C17" s="5" t="s">
        <v>14</v>
      </c>
      <c r="D17" s="5" t="s">
        <v>15</v>
      </c>
    </row>
    <row r="18" spans="1:4" x14ac:dyDescent="0.35">
      <c r="A18" s="1">
        <v>237100</v>
      </c>
      <c r="B18" s="1">
        <v>0</v>
      </c>
      <c r="C18" s="1">
        <v>18</v>
      </c>
      <c r="D18" s="1">
        <v>0</v>
      </c>
    </row>
    <row r="19" spans="1:4" x14ac:dyDescent="0.35">
      <c r="A19" s="1">
        <v>370500</v>
      </c>
      <c r="B19" s="1">
        <v>42678</v>
      </c>
      <c r="C19" s="1">
        <v>26</v>
      </c>
      <c r="D19" s="1">
        <v>237100</v>
      </c>
    </row>
    <row r="20" spans="1:4" x14ac:dyDescent="0.35">
      <c r="A20" s="1">
        <v>512800</v>
      </c>
      <c r="B20" s="1">
        <v>77362</v>
      </c>
      <c r="C20" s="1">
        <v>31</v>
      </c>
      <c r="D20" s="1">
        <v>370500</v>
      </c>
    </row>
    <row r="21" spans="1:4" x14ac:dyDescent="0.35">
      <c r="A21" s="1">
        <v>673000</v>
      </c>
      <c r="B21" s="1">
        <v>121475</v>
      </c>
      <c r="C21" s="1">
        <v>36</v>
      </c>
      <c r="D21" s="1">
        <v>512800</v>
      </c>
    </row>
    <row r="22" spans="1:4" x14ac:dyDescent="0.35">
      <c r="A22" s="1">
        <v>857900</v>
      </c>
      <c r="B22" s="1">
        <v>179147</v>
      </c>
      <c r="C22" s="1">
        <v>39</v>
      </c>
      <c r="D22" s="1">
        <v>673000</v>
      </c>
    </row>
    <row r="23" spans="1:4" x14ac:dyDescent="0.35">
      <c r="A23" s="1">
        <v>1817000</v>
      </c>
      <c r="B23" s="1">
        <v>251258</v>
      </c>
      <c r="C23" s="1">
        <v>41</v>
      </c>
      <c r="D23" s="1">
        <v>857900</v>
      </c>
    </row>
    <row r="24" spans="1:4" x14ac:dyDescent="0.35">
      <c r="A24" s="1"/>
      <c r="B24" s="1">
        <v>644489</v>
      </c>
      <c r="C24" s="1">
        <v>45</v>
      </c>
      <c r="D24" s="1">
        <v>1817000</v>
      </c>
    </row>
    <row r="26" spans="1:4" x14ac:dyDescent="0.35">
      <c r="A26" s="6" t="s">
        <v>17</v>
      </c>
    </row>
    <row r="27" spans="1:4" x14ac:dyDescent="0.35">
      <c r="A27" s="10">
        <v>38</v>
      </c>
      <c r="B27" s="1"/>
    </row>
    <row r="29" spans="1:4" x14ac:dyDescent="0.35">
      <c r="A29" s="6" t="s">
        <v>18</v>
      </c>
    </row>
    <row r="30" spans="1:4" x14ac:dyDescent="0.35">
      <c r="A30" s="11">
        <f>IF(A27&lt;65,A34,IF(A27&lt;75,A34+B34,A34+B34+C34))</f>
        <v>17235</v>
      </c>
    </row>
    <row r="32" spans="1:4" x14ac:dyDescent="0.35">
      <c r="A32" s="6" t="s">
        <v>16</v>
      </c>
      <c r="B32" s="7"/>
      <c r="C32" s="7"/>
    </row>
    <row r="33" spans="1:3" x14ac:dyDescent="0.35">
      <c r="A33" s="8" t="s">
        <v>19</v>
      </c>
      <c r="B33" s="8" t="s">
        <v>20</v>
      </c>
      <c r="C33" s="8" t="s">
        <v>21</v>
      </c>
    </row>
    <row r="34" spans="1:3" x14ac:dyDescent="0.35">
      <c r="A34" s="1">
        <v>17235</v>
      </c>
      <c r="B34" s="1">
        <v>9444</v>
      </c>
      <c r="C34" s="1">
        <v>3145</v>
      </c>
    </row>
  </sheetData>
  <conditionalFormatting sqref="H15 J15">
    <cfRule type="cellIs" dxfId="1" priority="1" operator="equal">
      <formula>0</formula>
    </cfRule>
    <cfRule type="cellIs" dxfId="0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van Zyl</dc:creator>
  <cp:lastModifiedBy>Ben van Zyl</cp:lastModifiedBy>
  <dcterms:created xsi:type="dcterms:W3CDTF">2015-06-05T18:17:20Z</dcterms:created>
  <dcterms:modified xsi:type="dcterms:W3CDTF">2024-02-27T10:16:37Z</dcterms:modified>
</cp:coreProperties>
</file>